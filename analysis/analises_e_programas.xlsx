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s" sheetId="1" state="visible" r:id="rId1"/>
    <sheet xmlns:r="http://schemas.openxmlformats.org/officeDocument/2006/relationships" name="Pós-fechamento" sheetId="2" state="visible" r:id="rId2"/>
    <sheet xmlns:r="http://schemas.openxmlformats.org/officeDocument/2006/relationships" name="Materialidade" sheetId="3" state="visible" r:id="rId3"/>
    <sheet xmlns:r="http://schemas.openxmlformats.org/officeDocument/2006/relationships" name="Matriz de riscos" sheetId="4" state="visible" r:id="rId4"/>
    <sheet xmlns:r="http://schemas.openxmlformats.org/officeDocument/2006/relationships" name="Programas de auditoria" sheetId="5" state="visible" r:id="rId5"/>
    <sheet xmlns:r="http://schemas.openxmlformats.org/officeDocument/2006/relationships" name="Distorções sintéticas" sheetId="6" state="visible" r:id="rId6"/>
    <sheet xmlns:r="http://schemas.openxmlformats.org/officeDocument/2006/relationships" name="Referências" sheetId="7" state="visible" r:id="rId7"/>
    <sheet xmlns:r="http://schemas.openxmlformats.org/officeDocument/2006/relationships" name="Notas de uso" sheetId="8" state="visible" r:id="rId8"/>
  </sheets>
  <definedNames>
    <definedName name="_xlnm._FilterDatabase" localSheetId="0" hidden="1">'Análises'!$A$1:$G$11</definedName>
    <definedName name="_xlnm._FilterDatabase" localSheetId="1" hidden="1">'Pós-fechamento'!$A$1:$F$10</definedName>
    <definedName name="_xlnm._FilterDatabase" localSheetId="2" hidden="1">'Materialidade'!$A$1:$F$6</definedName>
    <definedName name="_xlnm._FilterDatabase" localSheetId="3" hidden="1">'Matriz de riscos'!$A$1:$G$10</definedName>
    <definedName name="_xlnm._FilterDatabase" localSheetId="4" hidden="1">'Programas de auditoria'!$A$1:$G$19</definedName>
    <definedName name="_xlnm._FilterDatabase" localSheetId="5" hidden="1">'Distorções sintéticas'!$A$1:$H$7</definedName>
    <definedName name="_xlnm._FilterDatabase" localSheetId="6" hidden="1">'Referências'!$A$1:$G$10</definedName>
    <definedName name="_xlnm._FilterDatabase" localSheetId="7" hidden="1">'Notas de uso'!$A$1:$B$7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27" customWidth="1" min="5" max="5"/>
    <col width="54" customWidth="1" min="6" max="6"/>
    <col width="54" customWidth="1" min="7" max="7"/>
  </cols>
  <sheetData>
    <row r="1" ht="34" customHeight="1">
      <c r="A1" s="1" t="inlineStr">
        <is>
          <t>Métrica</t>
        </is>
      </c>
      <c r="B1" s="1" t="inlineStr">
        <is>
          <t>2024 R$</t>
        </is>
      </c>
      <c r="C1" s="1" t="inlineStr">
        <is>
          <t>2025 R$</t>
        </is>
      </c>
      <c r="D1" s="1" t="inlineStr">
        <is>
          <t>Variação R$</t>
        </is>
      </c>
      <c r="E1" s="1" t="inlineStr">
        <is>
          <t>Variação %</t>
        </is>
      </c>
      <c r="F1" s="1" t="inlineStr">
        <is>
          <t>Expectativa / limite de triagem</t>
        </is>
      </c>
      <c r="G1" s="1" t="inlineStr">
        <is>
          <t>Leitura e referência</t>
        </is>
      </c>
    </row>
    <row r="2">
      <c r="A2" s="2" t="inlineStr">
        <is>
          <t>Ativo consolidado</t>
        </is>
      </c>
      <c r="B2" s="2" t="n">
        <v>10067406000</v>
      </c>
      <c r="C2" s="2" t="n">
        <v>13219635000</v>
      </c>
      <c r="D2" s="2">
        <f>C2-B2</f>
        <v/>
      </c>
      <c r="E2" s="3">
        <f>D2/B2</f>
        <v/>
      </c>
      <c r="F2" s="2" t="inlineStr">
        <is>
          <t>Triagem: &gt;10% ou &gt;materialidade de execução</t>
        </is>
      </c>
      <c r="G2" s="2" t="inlineStr">
        <is>
          <t>Aumento de 31,3%; DFP BP impresso pp.16–17; risco de expansão/integração.</t>
        </is>
      </c>
    </row>
    <row r="3">
      <c r="A3" s="2" t="inlineStr">
        <is>
          <t>Estoques consolidados</t>
        </is>
      </c>
      <c r="B3" s="2" t="n">
        <v>5532090000</v>
      </c>
      <c r="C3" s="2" t="n">
        <v>6951508000</v>
      </c>
      <c r="D3" s="2">
        <f>C3-B3</f>
        <v/>
      </c>
      <c r="E3" s="3">
        <f>D3/B3</f>
        <v/>
      </c>
      <c r="F3" s="2" t="inlineStr">
        <is>
          <t>Triagem: &gt;10% ou &gt;R$69,4 milhões</t>
        </is>
      </c>
      <c r="G3" s="2" t="inlineStr">
        <is>
          <t>Aumento de 25,7%; DFP Nota 5 p.69.</t>
        </is>
      </c>
    </row>
    <row r="4">
      <c r="A4" s="2" t="inlineStr">
        <is>
          <t>Terrenos a incorporar</t>
        </is>
      </c>
      <c r="B4" s="2" t="n">
        <v>4587823000</v>
      </c>
      <c r="C4" s="2" t="n">
        <v>5678238000</v>
      </c>
      <c r="D4" s="2">
        <f>C4-B4</f>
        <v/>
      </c>
      <c r="E4" s="3">
        <f>D4/B4</f>
        <v/>
      </c>
      <c r="F4" s="2" t="inlineStr">
        <is>
          <t>Maior componente dos estoques; materialidade específica da rubrica Estoques: R$34,8 milhões</t>
        </is>
      </c>
      <c r="G4" s="2" t="inlineStr">
        <is>
          <t>Aumento de 23,8%; representa 81,7% do estoque e 43,0% do ativo em 2025; Nota 5 p.69.</t>
        </is>
      </c>
    </row>
    <row r="5">
      <c r="A5" s="2" t="inlineStr">
        <is>
          <t>Receita de vendas e serviços</t>
        </is>
      </c>
      <c r="B5" s="2" t="n">
        <v>3348470000</v>
      </c>
      <c r="C5" s="2" t="n">
        <v>4343008000</v>
      </c>
      <c r="D5" s="2">
        <f>C5-B5</f>
        <v/>
      </c>
      <c r="E5" s="3">
        <f>D5/B5</f>
        <v/>
      </c>
      <c r="F5" s="2" t="inlineStr">
        <is>
          <t>Triagem: &gt;10% ou &gt;R$69,4 milhões</t>
        </is>
      </c>
      <c r="G5" s="2" t="inlineStr">
        <is>
          <t>Aumento de 29,7%; POC e reconhecimento de receita são PAA; DRE consolidada p.21, auditor p.115–116.</t>
        </is>
      </c>
    </row>
    <row r="6">
      <c r="A6" s="2" t="inlineStr">
        <is>
          <t>Resultado antes de tributos</t>
        </is>
      </c>
      <c r="B6" s="2" t="n">
        <v>792298000</v>
      </c>
      <c r="C6" s="2" t="n">
        <v>1078495000</v>
      </c>
      <c r="D6" s="2">
        <f>C6-B6</f>
        <v/>
      </c>
      <c r="E6" s="3">
        <f>D6/B6</f>
        <v/>
      </c>
      <c r="F6" s="2" t="inlineStr">
        <is>
          <t>Triagem: &gt;10% ou &gt;R$69,4 milhões</t>
        </is>
      </c>
      <c r="G6" s="2" t="inlineStr">
        <is>
          <t>Aumento de 36,1%; analisar itens não recorrentes e projeções; DRE p.21.</t>
        </is>
      </c>
    </row>
    <row r="7">
      <c r="A7" s="2" t="inlineStr">
        <is>
          <t>Empréstimos e financiamentos</t>
        </is>
      </c>
      <c r="B7" s="2" t="n">
        <v>1549700000</v>
      </c>
      <c r="C7" s="2" t="n">
        <v>2758300000</v>
      </c>
      <c r="D7" s="2">
        <f>C7-B7</f>
        <v/>
      </c>
      <c r="E7" s="3">
        <f>D7/B7</f>
        <v/>
      </c>
      <c r="F7" s="2" t="inlineStr">
        <is>
          <t>Mudança de dívida &gt;10%; recomputar covenants e maturidade</t>
        </is>
      </c>
      <c r="G7" s="2" t="inlineStr">
        <is>
          <t>Aumento de 78,0%; 90% de longo prazo, prazo médio 64 meses; relatório da administração p.38.</t>
        </is>
      </c>
    </row>
    <row r="8">
      <c r="A8" s="2" t="inlineStr">
        <is>
          <t>Caixa e equivalentes + aplicações</t>
        </is>
      </c>
      <c r="B8" s="2" t="n">
        <v>1615200000</v>
      </c>
      <c r="C8" s="2" t="n">
        <v>2182800000</v>
      </c>
      <c r="D8" s="2">
        <f>C8-B8</f>
        <v/>
      </c>
      <c r="E8" s="3">
        <f>D8/B8</f>
        <v/>
      </c>
      <c r="F8" s="2" t="inlineStr">
        <is>
          <t>Conferir saldos bancários e restrições</t>
        </is>
      </c>
      <c r="G8" s="2" t="inlineStr">
        <is>
          <t>Aumento de 35,1%; caixa da administração, relatório p.38; diferenças de escopo de apresentação.</t>
        </is>
      </c>
    </row>
    <row r="9">
      <c r="A9" s="2" t="inlineStr">
        <is>
          <t>Posição de swaps</t>
        </is>
      </c>
      <c r="B9" s="2" t="n">
        <v>2600000</v>
      </c>
      <c r="C9" s="2" t="n">
        <v>43000000</v>
      </c>
      <c r="D9" s="2">
        <f>C9-B9</f>
        <v/>
      </c>
      <c r="E9" s="3">
        <f>D9/B9</f>
        <v/>
      </c>
      <c r="F9" s="2" t="inlineStr">
        <is>
          <t>Examinar valuation e liquidação</t>
        </is>
      </c>
      <c r="G9" s="2" t="inlineStr">
        <is>
          <t>Aumento; administração relata proteção de taxa; relatório p.38.</t>
        </is>
      </c>
    </row>
    <row r="10">
      <c r="A10" s="2" t="inlineStr">
        <is>
          <t>Dívida líquida reportada</t>
        </is>
      </c>
      <c r="B10" s="2" t="n">
        <v>-68200000</v>
      </c>
      <c r="C10" s="2" t="n">
        <v>532600000</v>
      </c>
      <c r="D10" s="2">
        <f>C10-B10</f>
        <v/>
      </c>
      <c r="E10" s="3">
        <f>IF(B10=0,0,D10/ABS(B10))</f>
        <v/>
      </c>
      <c r="F10" s="2" t="inlineStr">
        <is>
          <t>Mudança qualitativa e quantitativa</t>
        </is>
      </c>
      <c r="G10" s="2" t="inlineStr">
        <is>
          <t>Sai de caixa líquido para dívida líquida; aumento atribuído pela administração a dividendos extraordinários de R$804 milhões pagos no fim de 2025; p.32 e p.38.</t>
        </is>
      </c>
    </row>
    <row r="11">
      <c r="A11" s="2" t="inlineStr">
        <is>
          <t>Nota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Percentuais/limites são ferramentas didáticas de triagem; variação não é distorção identificada e precisa ser explicada por documento/evidência.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9" customWidth="1" min="2" max="2"/>
    <col width="54" customWidth="1" min="3" max="3"/>
    <col width="54" customWidth="1" min="4" max="4"/>
    <col width="54" customWidth="1" min="5" max="5"/>
    <col width="54" customWidth="1" min="6" max="6"/>
  </cols>
  <sheetData>
    <row r="1" ht="34" customHeight="1">
      <c r="A1" s="1" t="inlineStr">
        <is>
          <t>Data/período</t>
        </is>
      </c>
      <c r="B1" s="1" t="inlineStr">
        <is>
          <t>Métrica/evento</t>
        </is>
      </c>
      <c r="C1" s="1" t="inlineStr">
        <is>
          <t>Comparativo/quantia</t>
        </is>
      </c>
      <c r="D1" s="1" t="inlineStr">
        <is>
          <t>Leitura de auditoria</t>
        </is>
      </c>
      <c r="E1" s="1" t="inlineStr">
        <is>
          <t>Tratamento para DFP 2025</t>
        </is>
      </c>
      <c r="F1" s="1" t="inlineStr">
        <is>
          <t>Fonte</t>
        </is>
      </c>
    </row>
    <row r="2">
      <c r="A2" s="2" t="inlineStr">
        <is>
          <t>04/03/2026</t>
        </is>
      </c>
      <c r="B2" s="2" t="inlineStr">
        <is>
          <t>Emissão de CRI</t>
        </is>
      </c>
      <c r="C2" s="2" t="inlineStr">
        <is>
          <t>R$437,5 milhões; 7 e 10 anos</t>
        </is>
      </c>
      <c r="D2" s="2" t="inlineStr">
        <is>
          <t>Alongamento/refinanciamento posterior, mas incluir cronologia e condições de dívida</t>
        </is>
      </c>
      <c r="E2" s="2" t="inlineStr">
        <is>
          <t>Evento não ajustável, divulgado na Nota 26; verificar se revela condições existentes em 31/12/2025</t>
        </is>
      </c>
      <c r="F2" s="2" t="inlineStr">
        <is>
          <t>DFP 2025, Nota 26, impresso p.114; Administração p.38</t>
        </is>
      </c>
    </row>
    <row r="3">
      <c r="A3" s="2" t="inlineStr">
        <is>
          <t>30/06/2026</t>
        </is>
      </c>
      <c r="B3" s="2" t="inlineStr">
        <is>
          <t>Ativo total consolidado</t>
        </is>
      </c>
      <c r="C3" s="2" t="inlineStr">
        <is>
          <t>R$14.628.318 mil; +10,7% desde 31/12/2025</t>
        </is>
      </c>
      <c r="D3" s="2" t="inlineStr">
        <is>
          <t>Crescimento do ativo; avaliar financiamento, capital de giro e integração</t>
        </is>
      </c>
      <c r="E3" s="2" t="inlineStr">
        <is>
          <t>Contexto posterior; não altera o balanço de 31/12/2025 por si só</t>
        </is>
      </c>
      <c r="F3" s="2" t="inlineStr">
        <is>
          <t>ITR 2T26, divulgação de resultados, impresso p.22</t>
        </is>
      </c>
    </row>
    <row r="4">
      <c r="A4" s="2" t="inlineStr">
        <is>
          <t>30/06/2026</t>
        </is>
      </c>
      <c r="B4" s="2" t="inlineStr">
        <is>
          <t>Terrenos a incorporar</t>
        </is>
      </c>
      <c r="C4" s="2" t="inlineStr">
        <is>
          <t>R$6.345.109 mil versus R$5.678.238 mil</t>
        </is>
      </c>
      <c r="D4" s="2" t="inlineStr">
        <is>
          <t>Aumento de R$666.871 mil; risco de mensuração, cronograma e custo de capitalização</t>
        </is>
      </c>
      <c r="E4" s="2" t="inlineStr">
        <is>
          <t>Subsequente; avaliar fatos que evidenciem condição no encerramento sem presumir ajuste</t>
        </is>
      </c>
      <c r="F4" s="2" t="inlineStr">
        <is>
          <t>ITR 2T26, Nota 5, impressos pp.57–58</t>
        </is>
      </c>
    </row>
    <row r="5">
      <c r="A5" s="2" t="inlineStr">
        <is>
          <t>30/06/2026</t>
        </is>
      </c>
      <c r="B5" s="2" t="inlineStr">
        <is>
          <t>Ajuste de estoques a valor realizável</t>
        </is>
      </c>
      <c r="C5" s="2" t="inlineStr">
        <is>
          <t>R$4.310 mil, ante R$4.165 mil; adições R$397 mil e reversões R$252 mil</t>
        </is>
      </c>
      <c r="D5" s="2" t="inlineStr">
        <is>
          <t>Reforça necessidade de testar método, dados, sensibilidade e disponibilidade de informação por projeto</t>
        </is>
      </c>
      <c r="E5" s="2" t="inlineStr">
        <is>
          <t>Evidência posterior; não extrapolar para o saldo de 2025</t>
        </is>
      </c>
      <c r="F5" s="2" t="inlineStr">
        <is>
          <t>ITR 2T26, Nota 5, impressos pp.57–58</t>
        </is>
      </c>
    </row>
    <row r="6">
      <c r="A6" s="2" t="inlineStr">
        <is>
          <t>30/06/2026</t>
        </is>
      </c>
      <c r="B6" s="2" t="inlineStr">
        <is>
          <t>Caixa, equivalentes e aplicações</t>
        </is>
      </c>
      <c r="C6" s="2" t="inlineStr">
        <is>
          <t>R$2.750.097 mil (corrente + aplicações não correntes)</t>
        </is>
      </c>
      <c r="D6" s="2" t="inlineStr">
        <is>
          <t>Indicador favorável de liquidez reportado, mas não substitui maturidade, restrições e caixa projetado</t>
        </is>
      </c>
      <c r="E6" s="2" t="inlineStr">
        <is>
          <t>Contexto posterior; separar de teste de continuidade a 31/12/2025</t>
        </is>
      </c>
      <c r="F6" s="2" t="inlineStr">
        <is>
          <t>ITR 2T26, quadro consolidado, impresso p.22</t>
        </is>
      </c>
    </row>
    <row r="7">
      <c r="A7" s="2" t="inlineStr">
        <is>
          <t>3T26, divulgado 14/10/2026</t>
        </is>
      </c>
      <c r="B7" s="2" t="inlineStr">
        <is>
          <t>Vendas líquidas e lançamentos</t>
        </is>
      </c>
      <c r="C7" s="2" t="inlineStr">
        <is>
          <t>R$1,302 bi; -21,4% vs 2T26 e -20,7% vs 3T25; lançamentos R$1,3525 bi</t>
        </is>
      </c>
      <c r="D7" s="2" t="inlineStr">
        <is>
          <t>Prévia não auditada menciona menor conversão, concentração no fim do trimestre e distratos acima do normal</t>
        </is>
      </c>
      <c r="E7" s="2" t="inlineStr">
        <is>
          <t>Sinal posterior para atualizar riscos, não evidência de condição de 2025 sem ligação temporal</t>
        </is>
      </c>
      <c r="F7" s="2" t="inlineStr">
        <is>
          <t>Prévia operacional 3T26, pp.1–4</t>
        </is>
      </c>
    </row>
    <row r="8">
      <c r="A8" s="2" t="inlineStr">
        <is>
          <t>25/09 a 05/10/2026</t>
        </is>
      </c>
      <c r="B8" s="2" t="inlineStr">
        <is>
          <t>16ª emissão de debêntures</t>
        </is>
      </c>
      <c r="C8" s="2" t="inlineStr">
        <is>
          <t>R$150 milhões; oferta encerrada em 05/10</t>
        </is>
      </c>
      <c r="D8" s="2" t="inlineStr">
        <is>
          <t>Evento de financiamento; conferir finalidade, juros, garantias, covenants e maturidade</t>
        </is>
      </c>
      <c r="E8" s="2" t="inlineStr">
        <is>
          <t>Posterior à emissão da DFP 2025, não ajustável por si só</t>
        </is>
      </c>
      <c r="F8" s="2" t="inlineStr">
        <is>
          <t>Anúncio RI de início e encerramento, 01/10 e 05/10/2026</t>
        </is>
      </c>
    </row>
    <row r="9">
      <c r="A9" s="2" t="inlineStr">
        <is>
          <t>15–16/10/2026</t>
        </is>
      </c>
      <c r="B9" s="2" t="inlineStr">
        <is>
          <t>Participação acionária</t>
        </is>
      </c>
      <c r="C9" s="2" t="inlineStr">
        <is>
          <t>Driehaus 4,7805% do capital; sem intenção declarada de mudar controle</t>
        </is>
      </c>
      <c r="D9" s="2" t="inlineStr">
        <is>
          <t>Evento de acionista, não constitui ativo/passivo da companhia; confirmar apenas se evento de governança material</t>
        </is>
      </c>
      <c r="E9" s="2" t="inlineStr">
        <is>
          <t>Não ajustável à DFP 2025</t>
        </is>
      </c>
      <c r="F9" s="2" t="inlineStr">
        <is>
          <t>Comunicado RI de 16/10/2026</t>
        </is>
      </c>
    </row>
    <row r="10">
      <c r="A10" s="2" t="inlineStr">
        <is>
          <t>09/03 vs 10/03/2026</t>
        </is>
      </c>
      <c r="B10" s="2" t="inlineStr">
        <is>
          <t>Datas do relatório/aprovação</t>
        </is>
      </c>
      <c r="C10" s="2" t="inlineStr">
        <is>
          <t>PwC datado 09/03; administração informa aprovação 10/03</t>
        </is>
      </c>
      <c r="D10" s="2" t="inlineStr">
        <is>
          <t>Inconsistência cronológica aparente; solicitar ata, versão assinada e sequência de aprovação/relatório</t>
        </is>
      </c>
      <c r="E10" s="2" t="inlineStr">
        <is>
          <t>Ponto documental a esclarecer; sem conclusão de irregularidade</t>
        </is>
      </c>
      <c r="F10" s="2" t="inlineStr">
        <is>
          <t>Relatório PwC p.117; Nota 1 p.41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26" customWidth="1" min="5" max="5"/>
    <col width="54" customWidth="1" min="6" max="6"/>
  </cols>
  <sheetData>
    <row r="1" ht="34" customHeight="1">
      <c r="A1" s="1" t="inlineStr">
        <is>
          <t>Nível</t>
        </is>
      </c>
      <c r="B1" s="1" t="inlineStr">
        <is>
          <t>Base R$</t>
        </is>
      </c>
      <c r="C1" s="1" t="inlineStr">
        <is>
          <t>Percentual</t>
        </is>
      </c>
      <c r="D1" s="1" t="inlineStr">
        <is>
          <t>Fórmula R$</t>
        </is>
      </c>
      <c r="E1" s="1" t="inlineStr">
        <is>
          <t>Resultado recalculado R$</t>
        </is>
      </c>
      <c r="F1" s="1" t="inlineStr">
        <is>
          <t>Justificativa/limite</t>
        </is>
      </c>
    </row>
    <row r="2">
      <c r="A2" s="2" t="inlineStr">
        <is>
          <t>Global</t>
        </is>
      </c>
      <c r="B2" s="2" t="n">
        <v>13219635000</v>
      </c>
      <c r="C2" s="4" t="n">
        <v>0.0075</v>
      </c>
      <c r="D2" s="2">
        <f>B2*C2</f>
        <v/>
      </c>
      <c r="E2" s="2" t="n">
        <v>99147262</v>
      </c>
      <c r="F2" s="2" t="inlineStr">
        <is>
          <t>0,75% do ativo consolidado; julgamento didático para incorporadora intensiva em ativos.</t>
        </is>
      </c>
    </row>
    <row r="3">
      <c r="A3" s="2" t="inlineStr">
        <is>
          <t>Execução</t>
        </is>
      </c>
      <c r="B3" s="2">
        <f>D2</f>
        <v/>
      </c>
      <c r="C3" s="4" t="n">
        <v>0.7</v>
      </c>
      <c r="D3" s="2">
        <f>B3*C3</f>
        <v/>
      </c>
      <c r="E3" s="2" t="n">
        <v>69403084</v>
      </c>
      <c r="F3" s="2" t="inlineStr">
        <is>
          <t>70% da global; risco elevado em estoques, receita e estimativas.</t>
        </is>
      </c>
    </row>
    <row r="4">
      <c r="A4" s="2" t="inlineStr">
        <is>
          <t>Específica — Estoques</t>
        </is>
      </c>
      <c r="B4" s="2" t="n">
        <v>6951508000</v>
      </c>
      <c r="C4" s="4" t="n">
        <v>0.005</v>
      </c>
      <c r="D4" s="2">
        <f>B4*C4</f>
        <v/>
      </c>
      <c r="E4" s="2" t="n">
        <v>34757540</v>
      </c>
      <c r="F4" s="2" t="inlineStr">
        <is>
          <t>0,50% da maior rubrica do ativo, conforme Nota 5; julgamento didático.</t>
        </is>
      </c>
    </row>
    <row r="5">
      <c r="A5" s="2" t="inlineStr">
        <is>
          <t>Claramente trivial</t>
        </is>
      </c>
      <c r="B5" s="2">
        <f>D2</f>
        <v/>
      </c>
      <c r="C5" s="4" t="n">
        <v>0.05</v>
      </c>
      <c r="D5" s="2">
        <f>B5*C5</f>
        <v/>
      </c>
      <c r="E5" s="2" t="n">
        <v>4957363</v>
      </c>
      <c r="F5" s="2" t="inlineStr">
        <is>
          <t>5% da global como premissa de apresentação; natureza qualitativa pode sobrepor o limiar.</t>
        </is>
      </c>
    </row>
    <row r="6">
      <c r="A6" s="2" t="inlineStr">
        <is>
          <t>Aviso</t>
        </is>
      </c>
      <c r="B6" s="2" t="inlineStr"/>
      <c r="C6" s="2" t="inlineStr"/>
      <c r="D6" s="2" t="inlineStr"/>
      <c r="E6" s="2" t="inlineStr"/>
      <c r="F6" s="2" t="inlineStr">
        <is>
          <t>Percentuais não são mandatórios, não são a materialidade efetivamente fixada pelo auditor independente e devem ser recalibrados com resultados finais e dispersão de erros.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4" customWidth="1" min="2" max="2"/>
    <col width="54" customWidth="1" min="3" max="3"/>
    <col width="54" customWidth="1" min="4" max="4"/>
    <col width="41" customWidth="1" min="5" max="5"/>
    <col width="54" customWidth="1" min="6" max="6"/>
    <col width="54" customWidth="1" min="7" max="7"/>
  </cols>
  <sheetData>
    <row r="1" ht="34" customHeight="1">
      <c r="A1" s="1" t="inlineStr">
        <is>
          <t>Conta/processo</t>
        </is>
      </c>
      <c r="B1" s="1" t="inlineStr">
        <is>
          <t>Saldo público e peso</t>
        </is>
      </c>
      <c r="C1" s="1" t="inlineStr">
        <is>
          <t>Afirmações</t>
        </is>
      </c>
      <c r="D1" s="1" t="inlineStr">
        <is>
          <t>Risco e origem</t>
        </is>
      </c>
      <c r="E1" s="1" t="inlineStr">
        <is>
          <t>Significativo?</t>
        </is>
      </c>
      <c r="F1" s="1" t="inlineStr">
        <is>
          <t>Resposta planejada</t>
        </is>
      </c>
      <c r="G1" s="1" t="inlineStr">
        <is>
          <t>Evidência pública realizada / lacuna</t>
        </is>
      </c>
    </row>
    <row r="2">
      <c r="A2" s="2" t="inlineStr">
        <is>
          <t>Terrenos a incorporar</t>
        </is>
      </c>
      <c r="B2" s="2" t="inlineStr">
        <is>
          <t>R$5.678,238 mi; 81,7% do estoque; 43,0% do ativo</t>
        </is>
      </c>
      <c r="C2" s="2" t="inlineStr">
        <is>
          <t>Existência, direitos e obrigações, avaliação, corte, classificação, apresentação</t>
        </is>
      </c>
      <c r="D2" s="2" t="inlineStr">
        <is>
          <t>Título/matrícula, permutas, custo capitalizado, NRV, lançamento planejado e concentração de SPEs</t>
        </is>
      </c>
      <c r="E2" s="2" t="inlineStr">
        <is>
          <t>Sim — montante e complexidade</t>
        </is>
      </c>
      <c r="F2" s="2" t="inlineStr">
        <is>
          <t>Testar contratos e escrituras; confirmar direitos/ônus; inspeção física por amostra; recomputar custo e permutas; reexecutar NRV/sensibilidade; testar classificação e corte</t>
        </is>
      </c>
      <c r="G2" s="2" t="inlineStr">
        <is>
          <t>Tie-out público à Nota 5 executado. Registro auxiliar, título, avaliações e inspeções não acessíveis; população apenas sintética.</t>
        </is>
      </c>
    </row>
    <row r="3">
      <c r="A3" s="2" t="inlineStr">
        <is>
          <t>Receita de imóveis em construção (POC)</t>
        </is>
      </c>
      <c r="B3" s="2" t="inlineStr">
        <is>
          <t>Receita R$4.343,008 mi; resultado antes de tributos R$1.078,495 mi</t>
        </is>
      </c>
      <c r="C3" s="2" t="inlineStr">
        <is>
          <t>Ocorrência, exatidão, corte, integridade, classificação</t>
        </is>
      </c>
      <c r="D3" s="2" t="inlineStr">
        <is>
          <t>Reconhecimento depende de contratos, estágio de obra, custo incorrido/orçado e estimativas; PAA PwC e presunção de risco de fraude</t>
        </is>
      </c>
      <c r="E3" s="2" t="inlineStr">
        <is>
          <t>Sim</t>
        </is>
      </c>
      <c r="F3" s="2" t="inlineStr">
        <is>
          <t>Recalcular POC por empreendimento; reconciliar contratos, orçamento, custo, medições e subledger; testar lançamentos manuais/corte; inspeções e confirmação de vendas</t>
        </is>
      </c>
      <c r="G3" s="2" t="inlineStr">
        <is>
          <t>DRE/nota/PAA lidos. Contratos, orçamento, medições e razão indisponíveis; nenhum recálculo interno efetuado.</t>
        </is>
      </c>
    </row>
    <row r="4">
      <c r="A4" s="2" t="inlineStr">
        <is>
          <t>Contas a receber e adiantamentos</t>
        </is>
      </c>
      <c r="B4" s="2" t="inlineStr">
        <is>
          <t>Contas a receber consolidadas R$1.438,700 mi; receita imobiliária com POC</t>
        </is>
      </c>
      <c r="C4" s="2" t="inlineStr">
        <is>
          <t>Existência, direitos, avaliação, integridade, corte</t>
        </is>
      </c>
      <c r="D4" s="2" t="inlineStr">
        <is>
          <t>PECLD, distratos, atualização monetária, parcelas recebidas e POC</t>
        </is>
      </c>
      <c r="E4" s="2" t="inlineStr">
        <is>
          <t>Sim</t>
        </is>
      </c>
      <c r="F4" s="2" t="inlineStr">
        <is>
          <t>Circularizar clientes e agentes; testar recebimentos subsequentes, aging, distratos, taxas efetivas e PECLD; recalcular saldo POC</t>
        </is>
      </c>
      <c r="G4" s="2" t="inlineStr">
        <is>
          <t>Saldo e política pública lidos. Confirmações e testes subsequentes não executados por falta de dados.</t>
        </is>
      </c>
    </row>
    <row r="5">
      <c r="A5" s="2" t="inlineStr">
        <is>
          <t>Caixa, dívida, swaps e continuidade</t>
        </is>
      </c>
      <c r="B5" s="2" t="inlineStr">
        <is>
          <t>Empréstimos/financiamentos R$2.758,3 mi; dívida líquida R$532,6 mi; alavancagem 23%</t>
        </is>
      </c>
      <c r="C5" s="2" t="inlineStr">
        <is>
          <t>Existência, direitos, integridade, classificação e apresentação</t>
        </is>
      </c>
      <c r="D5" s="2" t="inlineStr">
        <is>
          <t>Pagamento extraordinário de dividendos R$804 mi; fluxo operacional informado R$104 mi; serviço da dívida, swaps, covenants e refinanciamento</t>
        </is>
      </c>
      <c r="E5" s="2" t="inlineStr">
        <is>
          <t>Sim</t>
        </is>
      </c>
      <c r="F5" s="2" t="inlineStr">
        <is>
          <t>Confirmações bancárias; examinar contratos, vencimentos, covenants, swaps, restrições; testar caixa pós-fechamento e modelo de liquidez</t>
        </is>
      </c>
      <c r="G5" s="2" t="inlineStr">
        <is>
          <t>Informação pública lida; não há extrato, covenant certificate ou forecast da administração para testar.</t>
        </is>
      </c>
    </row>
    <row r="6">
      <c r="A6" s="2" t="inlineStr">
        <is>
          <t>Provisões para contingências</t>
        </is>
      </c>
      <c r="B6" s="2" t="inlineStr">
        <is>
          <t>PAA PwC; quantificação/rollforward a conferir em Nota 16.2</t>
        </is>
      </c>
      <c r="C6" s="2" t="inlineStr">
        <is>
          <t>Integridade, avaliação, classificação, divulgação</t>
        </is>
      </c>
      <c r="D6" s="2" t="inlineStr">
        <is>
          <t>Prognóstico jurídico, complexidade processual e julgamento da administração</t>
        </is>
      </c>
      <c r="E6" s="2" t="inlineStr">
        <is>
          <t>Sim — PAA</t>
        </is>
      </c>
      <c r="F6" s="2" t="inlineStr">
        <is>
          <t>Cartas a advogados; rollforward por causa; confrontar probabilidade/perda/valor; rever eventos subsequentes e sensibilidade</t>
        </is>
      </c>
      <c r="G6" s="2" t="inlineStr">
        <is>
          <t>PAA e nota pública lidas; nenhuma circularização jurídica ou revisão interna realizada.</t>
        </is>
      </c>
    </row>
    <row r="7">
      <c r="A7" s="2" t="inlineStr">
        <is>
          <t>Partes relacionadas</t>
        </is>
      </c>
      <c r="B7" s="2" t="inlineStr">
        <is>
          <t>Ativo R$92,922 mi; passivo R$214,534 mi</t>
        </is>
      </c>
      <c r="C7" s="2" t="inlineStr">
        <is>
          <t>Integridade, ocorrência, exatidão, direitos, divulgação</t>
        </is>
      </c>
      <c r="D7" s="2" t="inlineStr">
        <is>
          <t>SPE/SCP, mútuos sem juros, conta-corrente, garantias, operações fora do curso normal</t>
        </is>
      </c>
      <c r="E7" s="2" t="inlineStr">
        <is>
          <t>Sim — risco qualitativo/completude</t>
        </is>
      </c>
      <c r="F7" s="2" t="inlineStr">
        <is>
          <t>Reconciliar cadastro e declarações de diretores; inspecionar atas/contratos; testar termos, liquidação, garantias e divulgações</t>
        </is>
      </c>
      <c r="G7" s="2" t="inlineStr">
        <is>
          <t>Nota 6 pública lida; cadastro/atas/razão de grupo indisponíveis.</t>
        </is>
      </c>
    </row>
    <row r="8">
      <c r="A8" s="2" t="inlineStr">
        <is>
          <t>Grupo e consolidação</t>
        </is>
      </c>
      <c r="B8" s="2" t="inlineStr">
        <is>
          <t>Controladas, SPE/SCP, controladas em conjunto e coligadas</t>
        </is>
      </c>
      <c r="C8" s="2" t="inlineStr">
        <is>
          <t>Completude, direitos, avaliação, consolidação, apresentação</t>
        </is>
      </c>
      <c r="D8" s="2" t="inlineStr">
        <is>
          <t>Perímetro, controle/controle conjunto, eliminações, participações não controladoras e auditores de componentes</t>
        </is>
      </c>
      <c r="E8" s="2" t="inlineStr">
        <is>
          <t>Sim</t>
        </is>
      </c>
      <c r="F8" s="2" t="inlineStr">
        <is>
          <t>Obter organograma e trial balances; testar consolidação/eliminações/políticas; avaliar materialidade de componente e instruções/reportes</t>
        </is>
      </c>
      <c r="G8" s="2" t="inlineStr">
        <is>
          <t>DFP declara uso de controladas/SPE/SCP; não foi possível reconstruir perímetro integral e evidência de componente por fontes públicas.</t>
        </is>
      </c>
    </row>
    <row r="9">
      <c r="A9" s="2" t="inlineStr">
        <is>
          <t>Estoques de imóveis em construção e juros capitalizados</t>
        </is>
      </c>
      <c r="B9" s="2" t="inlineStr">
        <is>
          <t>Consolidado R$1.174,207 mi em construção; juros capitalizados na política</t>
        </is>
      </c>
      <c r="C9" s="2" t="inlineStr">
        <is>
          <t>Existência, avaliação, corte, apresentação</t>
        </is>
      </c>
      <c r="D9" s="2" t="inlineStr">
        <is>
          <t>Custos de obra e taxa de capitalização, custo para completar, venda pós-período e estoque de projetos</t>
        </is>
      </c>
      <c r="E9" s="2" t="inlineStr">
        <is>
          <t>Sim</t>
        </is>
      </c>
      <c r="F9" s="2" t="inlineStr">
        <is>
          <t>Confirmar estoque físico; recalcular juros elegíveis/taxa; testar custo incorrido e orçamento; custo versus NRV por empreendimento</t>
        </is>
      </c>
      <c r="G9" s="2" t="inlineStr">
        <is>
          <t>Saldo/política pública; sem inspeção, orçamento ou planilha de juros.</t>
        </is>
      </c>
    </row>
    <row r="10">
      <c r="A10" s="2" t="inlineStr">
        <is>
          <t>Imobilizado</t>
        </is>
      </c>
      <c r="B10" s="2" t="inlineStr">
        <is>
          <t>Imobilizado consolidado conforme Balanço p.17</t>
        </is>
      </c>
      <c r="C10" s="2" t="inlineStr">
        <is>
          <t>Existência, direitos, avaliação, classificação</t>
        </is>
      </c>
      <c r="D10" s="2" t="inlineStr">
        <is>
          <t>Adições, baixas, depreciação, impairment e ativos próprios/empresas do grupo</t>
        </is>
      </c>
      <c r="E10" s="2" t="inlineStr">
        <is>
          <t>A avaliar após materialidade por classe</t>
        </is>
      </c>
      <c r="F10" s="2" t="inlineStr">
        <is>
          <t>Reconciliar razão; inspecionar adições e ativos; testar depreciação, titularidade e impairment</t>
        </is>
      </c>
      <c r="G10" s="2" t="inlineStr">
        <is>
          <t>Saldo público; razão, notas fiscais e verificação física não disponíveis.</t>
        </is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4" customWidth="1" min="3" max="3"/>
    <col width="54" customWidth="1" min="4" max="4"/>
    <col width="33" customWidth="1" min="5" max="5"/>
    <col width="51" customWidth="1" min="6" max="6"/>
    <col width="54" customWidth="1" min="7" max="7"/>
  </cols>
  <sheetData>
    <row r="1" ht="34" customHeight="1">
      <c r="A1" s="1" t="inlineStr">
        <is>
          <t>Ciclo</t>
        </is>
      </c>
      <c r="B1" s="1" t="inlineStr">
        <is>
          <t>Código</t>
        </is>
      </c>
      <c r="C1" s="1" t="inlineStr">
        <is>
          <t>Procedimento / objetivo</t>
        </is>
      </c>
      <c r="D1" s="1" t="inlineStr">
        <is>
          <t>Afirmações</t>
        </is>
      </c>
      <c r="E1" s="1" t="inlineStr">
        <is>
          <t>Status</t>
        </is>
      </c>
      <c r="F1" s="1" t="inlineStr">
        <is>
          <t>Evidência / referência</t>
        </is>
      </c>
      <c r="G1" s="1" t="inlineStr">
        <is>
          <t>Tratamento</t>
        </is>
      </c>
    </row>
    <row r="2">
      <c r="A2" s="2" t="inlineStr">
        <is>
          <t>Receitas</t>
        </is>
      </c>
      <c r="B2" s="2" t="inlineStr">
        <is>
          <t>REV-01</t>
        </is>
      </c>
      <c r="C2" s="2" t="inlineStr">
        <is>
          <t>Reconciliar receita por mês e empreendimento a DRE/razão; comparar venda, POC, custos incorridos/orçados e margem.</t>
        </is>
      </c>
      <c r="D2" s="2" t="inlineStr">
        <is>
          <t>Ocorrência, exatidão, corte, integridade</t>
        </is>
      </c>
      <c r="E2" s="2" t="inlineStr">
        <is>
          <t>Planejado por falta de acesso</t>
        </is>
      </c>
      <c r="F2" s="2" t="inlineStr">
        <is>
          <t>DFP DRE p.21; Nota de receitas; PAA PwC p.115–116</t>
        </is>
      </c>
      <c r="G2" s="2" t="inlineStr">
        <is>
          <t>Obter base de contratos/orçamentos, recalcular POC e explicar desvios; risco de fraude presumido.</t>
        </is>
      </c>
    </row>
    <row r="3">
      <c r="A3" s="2" t="inlineStr">
        <is>
          <t>Receitas</t>
        </is>
      </c>
      <c r="B3" s="2" t="inlineStr">
        <is>
          <t>REV-02</t>
        </is>
      </c>
      <c r="C3" s="2" t="inlineStr">
        <is>
          <t>Selecionar contratos e distratos antes/depois de 31/12; recalcular preço, aditivos, saldo e receita cumulativa.</t>
        </is>
      </c>
      <c r="D3" s="2" t="inlineStr">
        <is>
          <t>Ocorrência, exatidão, corte</t>
        </is>
      </c>
      <c r="E3" s="2" t="inlineStr">
        <is>
          <t>Planejado por falta de acesso</t>
        </is>
      </c>
      <c r="F3" s="2" t="inlineStr">
        <is>
          <t>Nota 2.1.7 e relatório PwC p.115–116</t>
        </is>
      </c>
      <c r="G3" s="2" t="inlineStr">
        <is>
          <t>Inspecionar contratos, aditivos e recebimentos; não houve confirmação ou inspeção real.</t>
        </is>
      </c>
    </row>
    <row r="4">
      <c r="A4" s="2" t="inlineStr">
        <is>
          <t>Receitas</t>
        </is>
      </c>
      <c r="B4" s="2" t="inlineStr">
        <is>
          <t>REV-03</t>
        </is>
      </c>
      <c r="C4" s="2" t="inlineStr">
        <is>
          <t>Testar lançamentos manuais perto do fechamento e lançamentos fora do padrão; analisar usuários, contrapartidas, horário e estornos.</t>
        </is>
      </c>
      <c r="D4" s="2" t="inlineStr">
        <is>
          <t>Ocorrência, integridade, corte</t>
        </is>
      </c>
      <c r="E4" s="2" t="inlineStr">
        <is>
          <t>Planejado por falta de acesso</t>
        </is>
      </c>
      <c r="F4" s="2" t="inlineStr">
        <is>
          <t>PT240/315 e DRE pública</t>
        </is>
      </c>
      <c r="G4" s="2" t="inlineStr">
        <is>
          <t>Solicitar razão detalhado, logs e parâmetros; procedimento não executado sem sistema.</t>
        </is>
      </c>
    </row>
    <row r="5">
      <c r="A5" s="2" t="inlineStr">
        <is>
          <t>Disponibilidades</t>
        </is>
      </c>
      <c r="B5" s="2" t="inlineStr">
        <is>
          <t>CASH-01</t>
        </is>
      </c>
      <c r="C5" s="2" t="inlineStr">
        <is>
          <t>Ler e cotejar o saldo de caixa/equivalentes publicado no balanço com a divulgação de endividamento da administração.</t>
        </is>
      </c>
      <c r="D5" s="2" t="inlineStr">
        <is>
          <t>Existência, apresentação e classificação — apenas contexto público</t>
        </is>
      </c>
      <c r="E5" s="2" t="inlineStr">
        <is>
          <t>Realizado com evidência pública</t>
        </is>
      </c>
      <c r="F5" s="2" t="inlineStr">
        <is>
          <t>Balanço p.16; Administração p.38</t>
        </is>
      </c>
      <c r="G5" s="2" t="inlineStr">
        <is>
          <t>Cotejo documental concluído; não é conciliação a razão/extrato e não comprova existência ou disponibilidade.</t>
        </is>
      </c>
    </row>
    <row r="6">
      <c r="A6" s="2" t="inlineStr">
        <is>
          <t>Disponibilidades</t>
        </is>
      </c>
      <c r="B6" s="2" t="inlineStr">
        <is>
          <t>CASH-02</t>
        </is>
      </c>
      <c r="C6" s="2" t="inlineStr">
        <is>
          <t>Reconciliar contas bancárias ao razão e aos extratos; obter confirmações bancárias sob controle do auditor e investigar diferenças.</t>
        </is>
      </c>
      <c r="D6" s="2" t="inlineStr">
        <is>
          <t>Existência, direitos, exatidão, corte</t>
        </is>
      </c>
      <c r="E6" s="2" t="inlineStr">
        <is>
          <t>Planejado por falta de acesso</t>
        </is>
      </c>
      <c r="F6" s="2" t="inlineStr">
        <is>
          <t>Balanço p.16; Administração p.38</t>
        </is>
      </c>
      <c r="G6" s="2" t="inlineStr">
        <is>
          <t>Obter razão, extratos e conciliações; nenhuma confirmação foi enviada.</t>
        </is>
      </c>
    </row>
    <row r="7">
      <c r="A7" s="2" t="inlineStr">
        <is>
          <t>Disponibilidades</t>
        </is>
      </c>
      <c r="B7" s="2" t="inlineStr">
        <is>
          <t>CASH-03</t>
        </is>
      </c>
      <c r="C7" s="2" t="inlineStr">
        <is>
          <t>Inspecionar aplicações restritas, títulos e swaps; recalcular valor justo, juros e liquidação subsequente.</t>
        </is>
      </c>
      <c r="D7" s="2" t="inlineStr">
        <is>
          <t>Direitos, avaliação, apresentação</t>
        </is>
      </c>
      <c r="E7" s="2" t="inlineStr">
        <is>
          <t>Planejado por falta de acesso</t>
        </is>
      </c>
      <c r="F7" s="2" t="inlineStr">
        <is>
          <t>Notas financeiras e nota de dívida/swaps</t>
        </is>
      </c>
      <c r="G7" s="2" t="inlineStr">
        <is>
          <t>Obter contratos, custódia, cotações, confirmação independente e pagamentos.</t>
        </is>
      </c>
    </row>
    <row r="8">
      <c r="A8" s="2" t="inlineStr">
        <is>
          <t>Estoques</t>
        </is>
      </c>
      <c r="B8" s="2" t="inlineStr">
        <is>
          <t>INV-01</t>
        </is>
      </c>
      <c r="C8" s="2" t="inlineStr">
        <is>
          <t>Conciliar Nota 5 e classes circulante/não circulante; analisar aumento, composição, custo e NRV divulgado.</t>
        </is>
      </c>
      <c r="D8" s="2" t="inlineStr">
        <is>
          <t>Exatidão, classificação, avaliação, apresentação</t>
        </is>
      </c>
      <c r="E8" s="2" t="inlineStr">
        <is>
          <t>Realizado com evidência pública</t>
        </is>
      </c>
      <c r="F8" s="2" t="inlineStr">
        <is>
          <t>DFP Nota 5 p.69; Balanço p.16–17</t>
        </is>
      </c>
      <c r="G8" s="2" t="inlineStr">
        <is>
          <t>Terrenos a incorporar R$5.678.238 mil; conferência pública de soma efetuada.</t>
        </is>
      </c>
    </row>
    <row r="9">
      <c r="A9" s="2" t="inlineStr">
        <is>
          <t>Estoques</t>
        </is>
      </c>
      <c r="B9" s="2" t="inlineStr">
        <is>
          <t>INV-02</t>
        </is>
      </c>
      <c r="C9" s="2" t="inlineStr">
        <is>
          <t>Selecionar terrenos e imóveis; examinar contrato, escritura/matrícula, ônus, pagamentos, permuta e cut-off.</t>
        </is>
      </c>
      <c r="D9" s="2" t="inlineStr">
        <is>
          <t>Existência, direitos, avaliação, corte</t>
        </is>
      </c>
      <c r="E9" s="2" t="inlineStr">
        <is>
          <t>Planejado por falta de acesso</t>
        </is>
      </c>
      <c r="F9" s="2" t="inlineStr">
        <is>
          <t>Nota 2.1.8/Nota 5</t>
        </is>
      </c>
      <c r="G9" s="2" t="inlineStr">
        <is>
          <t>Sem livros, contratos, registros e acesso físico. Não alegado como feito.</t>
        </is>
      </c>
    </row>
    <row r="10">
      <c r="A10" s="2" t="inlineStr">
        <is>
          <t>Estoques</t>
        </is>
      </c>
      <c r="B10" s="2" t="inlineStr">
        <is>
          <t>INV-03</t>
        </is>
      </c>
      <c r="C10" s="2" t="inlineStr">
        <is>
          <t>Reexecutar NRV por projeto/unidade; comparar custos e custos para completar com preço de venda realizável, distratos e venda subsequente; sensibilidade.</t>
        </is>
      </c>
      <c r="D10" s="2" t="inlineStr">
        <is>
          <t>Avaliação e apresentação</t>
        </is>
      </c>
      <c r="E10" s="2" t="inlineStr">
        <is>
          <t>Planejado por falta de acesso</t>
        </is>
      </c>
      <c r="F10" s="2" t="inlineStr">
        <is>
          <t>Nota 5; PAA de receita</t>
        </is>
      </c>
      <c r="G10" s="2" t="inlineStr">
        <is>
          <t>Obter orçamento, laudos, VGV/vendas e distratos; simulação quantitativa limitada à base sintética PT530.</t>
        </is>
      </c>
    </row>
    <row r="11">
      <c r="A11" s="2" t="inlineStr">
        <is>
          <t>Estoques</t>
        </is>
      </c>
      <c r="B11" s="2" t="inlineStr">
        <is>
          <t>INV-04</t>
        </is>
      </c>
      <c r="C11" s="2" t="inlineStr">
        <is>
          <t>Executar regras analíticas, reconciliação e amostra sobre a população sintética de terrenos.</t>
        </is>
      </c>
      <c r="D11" s="2" t="inlineStr">
        <is>
          <t>Exatidão, avaliação, classificação</t>
        </is>
      </c>
      <c r="E11" s="2" t="inlineStr">
        <is>
          <t>Simulado para fins didáticos</t>
        </is>
      </c>
      <c r="F11" s="2" t="inlineStr">
        <is>
          <t>Base CSV.gz; PT530; planilha de conciliação</t>
        </is>
      </c>
      <c r="G11" s="2" t="inlineStr">
        <is>
          <t>500.000 linhas únicas; achados são exclusivamente sintéticos, não achados da companhia.</t>
        </is>
      </c>
    </row>
    <row r="12">
      <c r="A12" s="2" t="inlineStr">
        <is>
          <t>Imobilizado</t>
        </is>
      </c>
      <c r="B12" s="2" t="inlineStr">
        <is>
          <t>PPE-01</t>
        </is>
      </c>
      <c r="C12" s="2" t="inlineStr">
        <is>
          <t>Reconciliar cadastro/razão e inspecionar itens selecionados; testar adições, baixas, existência, título, depreciação e impairment.</t>
        </is>
      </c>
      <c r="D12" s="2" t="inlineStr">
        <is>
          <t>Existência, direitos, avaliação, classificação</t>
        </is>
      </c>
      <c r="E12" s="2" t="inlineStr">
        <is>
          <t>Planejado por falta de acesso</t>
        </is>
      </c>
      <c r="F12" s="2" t="inlineStr">
        <is>
          <t>Balanço p.17; Nota imobilizado</t>
        </is>
      </c>
      <c r="G12" s="2" t="inlineStr">
        <is>
          <t>Obter cadastro, notas fiscais, contratos e observação física; nenhum teste feito.</t>
        </is>
      </c>
    </row>
    <row r="13">
      <c r="A13" s="2" t="inlineStr">
        <is>
          <t>Imobilizado</t>
        </is>
      </c>
      <c r="B13" s="2" t="inlineStr">
        <is>
          <t>PPE-02</t>
        </is>
      </c>
      <c r="C13" s="2" t="inlineStr">
        <is>
          <t>Inspecionar juros capitalizados a imobilizado/ativos de qualificação e data de disponibilidade para uso.</t>
        </is>
      </c>
      <c r="D13" s="2" t="inlineStr">
        <is>
          <t>Avaliação, corte, classificação</t>
        </is>
      </c>
      <c r="E13" s="2" t="inlineStr">
        <is>
          <t>Planejado por falta de acesso</t>
        </is>
      </c>
      <c r="F13" s="2" t="inlineStr">
        <is>
          <t>Políticas contábeis</t>
        </is>
      </c>
      <c r="G13" s="2" t="inlineStr">
        <is>
          <t>Recalcular taxa/base/tempo e cessar capitalização quando disponível.</t>
        </is>
      </c>
    </row>
    <row r="14">
      <c r="A14" s="2" t="inlineStr">
        <is>
          <t>Passivos</t>
        </is>
      </c>
      <c r="B14" s="2" t="inlineStr">
        <is>
          <t>LIAB-01</t>
        </is>
      </c>
      <c r="C14" s="2" t="inlineStr">
        <is>
          <t>Realizar busca de passivos não registrados por pagamentos posteriores, notas fiscais, extratos, contratos, fornecedores e atas.</t>
        </is>
      </c>
      <c r="D14" s="2" t="inlineStr">
        <is>
          <t>Integridade, corte, classificação</t>
        </is>
      </c>
      <c r="E14" s="2" t="inlineStr">
        <is>
          <t>Planejado por falta de acesso</t>
        </is>
      </c>
      <c r="F14" s="2" t="inlineStr">
        <is>
          <t>Balanço p.18–20; notas de dívida/fornecedores</t>
        </is>
      </c>
      <c r="G14" s="2" t="inlineStr">
        <is>
          <t>Examinar pagamentos/subsequent disbursements e confirmar credores; não executado.</t>
        </is>
      </c>
    </row>
    <row r="15">
      <c r="A15" s="2" t="inlineStr">
        <is>
          <t>Passivos</t>
        </is>
      </c>
      <c r="B15" s="2" t="inlineStr">
        <is>
          <t>LIAB-02</t>
        </is>
      </c>
      <c r="C15" s="2" t="inlineStr">
        <is>
          <t>Reconciliar dívida/cessões, confirmar credores, testar juros, vencimentos, covenants, garantias, swaps e classificação corrente.</t>
        </is>
      </c>
      <c r="D15" s="2" t="inlineStr">
        <is>
          <t>Integridade, obrigação, exatidão, classificação</t>
        </is>
      </c>
      <c r="E15" s="2" t="inlineStr">
        <is>
          <t>Planejado por falta de acesso</t>
        </is>
      </c>
      <c r="F15" s="2" t="inlineStr">
        <is>
          <t>Administração p.38; notas 9 e 10</t>
        </is>
      </c>
      <c r="G15" s="2" t="inlineStr">
        <is>
          <t>Dívida pública: R$2.758,3 mi; obter instrumentos/confirmar termos antes de concluir.</t>
        </is>
      </c>
    </row>
    <row r="16">
      <c r="A16" s="2" t="inlineStr">
        <is>
          <t>Passivos</t>
        </is>
      </c>
      <c r="B16" s="2" t="inlineStr">
        <is>
          <t>LIAB-03</t>
        </is>
      </c>
      <c r="C16" s="2" t="inlineStr">
        <is>
          <t>Confirmar saldo e termos com partes relacionadas; testar mútuos, garantias, liquidações e divulgação.</t>
        </is>
      </c>
      <c r="D16" s="2" t="inlineStr">
        <is>
          <t>Integridade, apresentação, ocorrência</t>
        </is>
      </c>
      <c r="E16" s="2" t="inlineStr">
        <is>
          <t>Planejado por falta de acesso</t>
        </is>
      </c>
      <c r="F16" s="2" t="inlineStr">
        <is>
          <t>Nota 6 p.70</t>
        </is>
      </c>
      <c r="G16" s="2" t="inlineStr">
        <is>
          <t>Saldos consolidados 2025: ativo R$92,922 mi e passivo R$214,534 mi.</t>
        </is>
      </c>
    </row>
    <row r="17">
      <c r="A17" s="2" t="inlineStr">
        <is>
          <t>Estimativas</t>
        </is>
      </c>
      <c r="B17" s="2" t="inlineStr">
        <is>
          <t>EST-01</t>
        </is>
      </c>
      <c r="C17" s="2" t="inlineStr">
        <is>
          <t>Recalcular e sensibilizar custos incorridos/custo a completar e receita POC por SPE/empreendimento.</t>
        </is>
      </c>
      <c r="D17" s="2" t="inlineStr">
        <is>
          <t>Avaliação, exatidão, corte</t>
        </is>
      </c>
      <c r="E17" s="2" t="inlineStr">
        <is>
          <t>Planejado por falta de acesso</t>
        </is>
      </c>
      <c r="F17" s="2" t="inlineStr">
        <is>
          <t>PAA PwC p.115–116</t>
        </is>
      </c>
      <c r="G17" s="2" t="inlineStr">
        <is>
          <t>Testar premissas e viés retrospectivo; dados internos ausentes.</t>
        </is>
      </c>
    </row>
    <row r="18">
      <c r="A18" s="2" t="inlineStr">
        <is>
          <t>Estimativas</t>
        </is>
      </c>
      <c r="B18" s="2" t="inlineStr">
        <is>
          <t>EST-02</t>
        </is>
      </c>
      <c r="C18" s="2" t="inlineStr">
        <is>
          <t>Reexecutar NRV por terreno/unidade, comparar preços pós-período, distratos e impairment; sensibilizar custo de conclusão e taxa.</t>
        </is>
      </c>
      <c r="D18" s="2" t="inlineStr">
        <is>
          <t>Avaliação e apresentação</t>
        </is>
      </c>
      <c r="E18" s="2" t="inlineStr">
        <is>
          <t>Planejado por falta de acesso</t>
        </is>
      </c>
      <c r="F18" s="2" t="inlineStr">
        <is>
          <t>Nota 5 p.69; ITR 2T26 Nota 5</t>
        </is>
      </c>
      <c r="G18" s="2" t="inlineStr">
        <is>
          <t>Ajustes públicos R$4,165 mi (2025), R$4,310 mi (30/06/26); não é conclusão de adequação.</t>
        </is>
      </c>
    </row>
    <row r="19">
      <c r="A19" s="2" t="inlineStr">
        <is>
          <t>Estimativas</t>
        </is>
      </c>
      <c r="B19" s="2" t="inlineStr">
        <is>
          <t>EST-03</t>
        </is>
      </c>
      <c r="C19" s="2" t="inlineStr">
        <is>
          <t>Obter cartas de advogados e testar probabilidade/valor dos processos; reexecutar rollforward das provisões.</t>
        </is>
      </c>
      <c r="D19" s="2" t="inlineStr">
        <is>
          <t>Integridade, avaliação, apresentação</t>
        </is>
      </c>
      <c r="E19" s="2" t="inlineStr">
        <is>
          <t>Planejado por falta de acesso</t>
        </is>
      </c>
      <c r="F19" s="2" t="inlineStr">
        <is>
          <t>PAA PwC p.116–117; Nota 16.2</t>
        </is>
      </c>
      <c r="G19" s="2" t="inlineStr">
        <is>
          <t>Não houve circularização por este trabalho.</t>
        </is>
      </c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5" customWidth="1" min="4" max="4"/>
    <col width="12" customWidth="1" min="5" max="5"/>
    <col width="54" customWidth="1" min="6" max="6"/>
    <col width="54" customWidth="1" min="7" max="7"/>
    <col width="54" customWidth="1" min="8" max="8"/>
  </cols>
  <sheetData>
    <row r="1" ht="34" customHeight="1">
      <c r="A1" s="1" t="inlineStr">
        <is>
          <t>Exceção implantada</t>
        </is>
      </c>
      <c r="B1" s="1" t="inlineStr">
        <is>
          <t>Inserida</t>
        </is>
      </c>
      <c r="C1" s="1" t="inlineStr">
        <is>
          <t>Detectada</t>
        </is>
      </c>
      <c r="D1" s="1" t="inlineStr">
        <is>
          <t>Não detectada</t>
        </is>
      </c>
      <c r="E1" s="1" t="inlineStr">
        <is>
          <t>Inesperada</t>
        </is>
      </c>
      <c r="F1" s="1" t="inlineStr">
        <is>
          <t>Exposição/efeito</t>
        </is>
      </c>
      <c r="G1" s="1" t="inlineStr">
        <is>
          <t>Corrigida?</t>
        </is>
      </c>
      <c r="H1" s="1" t="inlineStr">
        <is>
          <t>Conclusão e distinção</t>
        </is>
      </c>
    </row>
    <row r="2">
      <c r="A2" s="2" t="inlineStr">
        <is>
          <t>TITLE_DOCUMENT_INCOMPLETE</t>
        </is>
      </c>
      <c r="B2" s="2" t="n">
        <v>200</v>
      </c>
      <c r="C2" s="2" t="n">
        <v>200</v>
      </c>
      <c r="D2" s="2" t="n">
        <v>0</v>
      </c>
      <c r="E2" s="2" t="n">
        <v>0</v>
      </c>
      <c r="F2" s="2" t="inlineStr">
        <is>
          <t>Direitos/evidência insuficientes no registro sintético; não é estimativa de perda.</t>
        </is>
      </c>
      <c r="G2" s="2" t="inlineStr">
        <is>
          <t>Não se registra correção em livros reais. As exceções só existem no CSV sintético.</t>
        </is>
      </c>
      <c r="H2" s="2" t="inlineStr">
        <is>
          <t>Testes de regras identificaram todas as exceções implantadas e não marcaram casos não implantados dentro da base artificial.</t>
        </is>
      </c>
    </row>
    <row r="3">
      <c r="A3" s="2" t="inlineStr">
        <is>
          <t>AREA_INVALID</t>
        </is>
      </c>
      <c r="B3" s="2" t="n">
        <v>150</v>
      </c>
      <c r="C3" s="2" t="n">
        <v>150</v>
      </c>
      <c r="D3" s="2" t="n">
        <v>0</v>
      </c>
      <c r="E3" s="2" t="n">
        <v>0</v>
      </c>
      <c r="F3" s="2" t="inlineStr">
        <is>
          <t>A área do registro sintético é zero; efeito monetário não estimado sem método de mensuração.</t>
        </is>
      </c>
      <c r="G3" s="2" t="inlineStr">
        <is>
          <t>Não se registra correção em livros reais. As exceções só existem no CSV sintético.</t>
        </is>
      </c>
      <c r="H3" s="2" t="inlineStr">
        <is>
          <t>Testes de regras identificaram todas as exceções implantadas e não marcaram casos não implantados dentro da base artificial.</t>
        </is>
      </c>
    </row>
    <row r="4">
      <c r="A4" s="2" t="inlineStr">
        <is>
          <t>NRV_BELOW_BOOK</t>
        </is>
      </c>
      <c r="B4" s="2" t="n">
        <v>500</v>
      </c>
      <c r="C4" s="2" t="n">
        <v>500</v>
      </c>
      <c r="D4" s="2" t="n">
        <v>0</v>
      </c>
      <c r="E4" s="2" t="n">
        <v>0</v>
      </c>
      <c r="F4" s="2" t="inlineStr">
        <is>
          <t>Shortfall sintético agregado conhecido: R$1.026.809,57; cenário didático, não perda real.</t>
        </is>
      </c>
      <c r="G4" s="2" t="inlineStr">
        <is>
          <t>Não se registra correção em livros reais. As exceções só existem no CSV sintético.</t>
        </is>
      </c>
      <c r="H4" s="2" t="inlineStr">
        <is>
          <t>Testes de regras identificaram todas as exceções implantadas e não marcaram casos não implantados dentro da base artificial.</t>
        </is>
      </c>
    </row>
    <row r="5">
      <c r="A5" s="2" t="inlineStr">
        <is>
          <t>CLASSIFICATION_MISMATCH</t>
        </is>
      </c>
      <c r="B5" s="2" t="n">
        <v>250</v>
      </c>
      <c r="C5" s="2" t="n">
        <v>250</v>
      </c>
      <c r="D5" s="2" t="n">
        <v>0</v>
      </c>
      <c r="E5" s="2" t="n">
        <v>0</v>
      </c>
      <c r="F5" s="2" t="inlineStr">
        <is>
          <t>Erro sintético entre classificação e data de lançamento; sem inferência sobre apresentação da companhia.</t>
        </is>
      </c>
      <c r="G5" s="2" t="inlineStr">
        <is>
          <t>Não se registra correção em livros reais. As exceções só existem no CSV sintético.</t>
        </is>
      </c>
      <c r="H5" s="2" t="inlineStr">
        <is>
          <t>Testes de regras identificaram todas as exceções implantadas e não marcaram casos não implantados dentro da base artificial.</t>
        </is>
      </c>
    </row>
    <row r="6">
      <c r="A6" s="2" t="inlineStr">
        <is>
          <t>VALUATION_STALE</t>
        </is>
      </c>
      <c r="B6" s="2" t="n">
        <v>300</v>
      </c>
      <c r="C6" s="2" t="n">
        <v>300</v>
      </c>
      <c r="D6" s="2" t="n">
        <v>0</v>
      </c>
      <c r="E6" s="2" t="n">
        <v>0</v>
      </c>
      <c r="F6" s="2" t="inlineStr">
        <is>
          <t>Data de avaliação sintética desatualizada; exposição a estimativa, sem distorção monetária medida.</t>
        </is>
      </c>
      <c r="G6" s="2" t="inlineStr">
        <is>
          <t>Não se registra correção em livros reais. As exceções só existem no CSV sintético.</t>
        </is>
      </c>
      <c r="H6" s="2" t="inlineStr">
        <is>
          <t>Testes de regras identificaram todas as exceções implantadas e não marcaram casos não implantados dentro da base artificial.</t>
        </is>
      </c>
    </row>
    <row r="7">
      <c r="A7" s="2" t="inlineStr">
        <is>
          <t>Datas documentais DFP 2025</t>
        </is>
      </c>
      <c r="B7" s="2" t="n">
        <v>1</v>
      </c>
      <c r="C7" s="2" t="n">
        <v>1</v>
      </c>
      <c r="D7" s="2" t="n">
        <v>0</v>
      </c>
      <c r="E7" s="2" t="n">
        <v>0</v>
      </c>
      <c r="F7" s="2" t="inlineStr">
        <is>
          <t>Relatório PwC p.117: 09/03/2026; Nota 1 p.41: aprovação em 10/03/2026. Inconsistência cronológica aparente; causa e efeito não quantificados.</t>
        </is>
      </c>
      <c r="G7" s="2" t="inlineStr">
        <is>
          <t>Pendente de esclarecimento; nenhuma correção efetuada</t>
        </is>
      </c>
      <c r="H7" s="2" t="inlineStr">
        <is>
          <t>Não é distorção financeira identificada; solicitar ata/versão assinada e cronologia ao responsável adequado. Não concluir irregularidade nem deficiência sem evidência adicional.</t>
        </is>
      </c>
    </row>
  </sheetData>
  <autoFilter ref="A1:H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4" customWidth="1" min="3" max="3"/>
    <col width="54" customWidth="1" min="4" max="4"/>
    <col width="54" customWidth="1" min="5" max="5"/>
    <col width="16" customWidth="1" min="6" max="6"/>
    <col width="54" customWidth="1" min="7" max="7"/>
  </cols>
  <sheetData>
    <row r="1" ht="34" customHeight="1">
      <c r="A1" s="1" t="inlineStr">
        <is>
          <t>ID</t>
        </is>
      </c>
      <c r="B1" s="1" t="inlineStr">
        <is>
          <t>Fonte</t>
        </is>
      </c>
      <c r="C1" s="1" t="inlineStr">
        <is>
          <t>Documento</t>
        </is>
      </c>
      <c r="D1" s="1" t="inlineStr">
        <is>
          <t>URL</t>
        </is>
      </c>
      <c r="E1" s="1" t="inlineStr">
        <is>
          <t>Páginas/trecho</t>
        </is>
      </c>
      <c r="F1" s="1" t="inlineStr">
        <is>
          <t>Data de acesso</t>
        </is>
      </c>
      <c r="G1" s="1" t="inlineStr">
        <is>
          <t>Uso/observação</t>
        </is>
      </c>
    </row>
    <row r="2">
      <c r="A2" s="2" t="inlineStr">
        <is>
          <t>S1</t>
        </is>
      </c>
      <c r="B2" s="2" t="inlineStr">
        <is>
          <t>CVM</t>
        </is>
      </c>
      <c r="C2" s="2" t="inlineStr">
        <is>
          <t>DFP V1 31/12/2025, NSD 155189</t>
        </is>
      </c>
      <c r="D2" s="2" t="inlineStr">
        <is>
          <t>https://www.rad.cvm.gov.br/ENET/frmGerenciaPaginaFRE.aspx?NumeroSequencialDocumento=155189&amp;CodigoTipoInstituicao=1</t>
        </is>
      </c>
      <c r="E2" s="2" t="inlineStr">
        <is>
          <t>Metadados/protocolo</t>
        </is>
      </c>
      <c r="F2" s="2" t="inlineStr">
        <is>
          <t>22/10/2026</t>
        </is>
      </c>
      <c r="G2" s="2" t="inlineStr">
        <is>
          <t>Fonte regulatória primária.</t>
        </is>
      </c>
    </row>
    <row r="3">
      <c r="A3" s="2" t="inlineStr">
        <is>
          <t>S2</t>
        </is>
      </c>
      <c r="B3" s="2" t="inlineStr">
        <is>
          <t>RI Direcional</t>
        </is>
      </c>
      <c r="C3" s="2" t="inlineStr">
        <is>
          <t>DFP 4T25 V1</t>
        </is>
      </c>
      <c r="D3" s="2" t="inlineStr">
        <is>
          <t>https://api.mziq.com/mzfilemanager/v2/d/ada9bc2c-f7d0-4359-9eaf-851b679ab788/184f5357-c3a8-12a9-3a85-cdb268303bcb?origin=2</t>
        </is>
      </c>
      <c r="E3" s="2" t="inlineStr">
        <is>
          <t>BP pp.16–17; Nota 5 p.69; segmentos p.44; partes relacionadas pp.70–71; contingências pp.93–94; Administração pp.32/38; auditor pp.115–117</t>
        </is>
      </c>
      <c r="F3" s="2" t="inlineStr">
        <is>
          <t>22/10/2026</t>
        </is>
      </c>
      <c r="G3" s="2" t="inlineStr">
        <is>
          <t>PDF direto examinado; índice institucional em FONTES.md.</t>
        </is>
      </c>
    </row>
    <row r="4">
      <c r="A4" s="2" t="inlineStr">
        <is>
          <t>S3</t>
        </is>
      </c>
      <c r="B4" s="2" t="inlineStr">
        <is>
          <t>B3</t>
        </is>
      </c>
      <c r="C4" s="2" t="inlineStr">
        <is>
          <t>Ficha Direcional Engenharia S.A.</t>
        </is>
      </c>
      <c r="D4" s="2" t="inlineStr">
        <is>
          <t>https://sistemaswebb3-listados.b3.com.br/listedCompaniesPage/main/21350/DIRR/overview?language=pt-br</t>
        </is>
      </c>
      <c r="E4" s="2" t="inlineStr">
        <is>
          <t>Sem página; dados da companhia</t>
        </is>
      </c>
      <c r="F4" s="2" t="inlineStr">
        <is>
          <t>22/10/2026</t>
        </is>
      </c>
      <c r="G4" s="2" t="inlineStr">
        <is>
          <t>Identidade/ticker e ativo total.</t>
        </is>
      </c>
    </row>
    <row r="5">
      <c r="A5" s="2" t="inlineStr">
        <is>
          <t>S4</t>
        </is>
      </c>
      <c r="B5" s="2" t="inlineStr">
        <is>
          <t>RI Direcional</t>
        </is>
      </c>
      <c r="C5" s="2" t="inlineStr">
        <is>
          <t>DFP 4T24 V1</t>
        </is>
      </c>
      <c r="D5" s="2" t="inlineStr">
        <is>
          <t>https://api.mziq.com/mzfilemanager/v2/d/ada9bc2c-f7d0-4359-9eaf-851b679ab788/71cc6d14-36b4-e7cc-a1e3-7f7974c42ed7?origin=2</t>
        </is>
      </c>
      <c r="E5" s="2" t="inlineStr">
        <is>
          <t>Relatório auditor pp.111–113</t>
        </is>
      </c>
      <c r="F5" s="2" t="inlineStr">
        <is>
          <t>22/10/2026</t>
        </is>
      </c>
      <c r="G5" s="2" t="inlineStr">
        <is>
          <t>Opinião anterior sem modificação; suporte público a PT510.</t>
        </is>
      </c>
    </row>
    <row r="6">
      <c r="A6" s="2" t="inlineStr">
        <is>
          <t>S5</t>
        </is>
      </c>
      <c r="B6" s="2" t="inlineStr">
        <is>
          <t>RI Direcional</t>
        </is>
      </c>
      <c r="C6" s="2" t="inlineStr">
        <is>
          <t>ITR 2T26 V1</t>
        </is>
      </c>
      <c r="D6" s="2" t="inlineStr">
        <is>
          <t>https://api.mziq.com/mzfilemanager/v2/d/ada9bc2c-f7d0-4359-9eaf-851b679ab788/e7250290-a0ce-9144-cc4e-169db46844eb?origin=2</t>
        </is>
      </c>
      <c r="E6" s="2" t="inlineStr">
        <is>
          <t>BP p.22; Nota 5 pp.57–58</t>
        </is>
      </c>
      <c r="F6" s="2" t="inlineStr">
        <is>
          <t>22/10/2026</t>
        </is>
      </c>
      <c r="G6" s="2" t="inlineStr">
        <is>
          <t>Contexto posterior; informações intermediárias.</t>
        </is>
      </c>
    </row>
    <row r="7">
      <c r="A7" s="2" t="inlineStr">
        <is>
          <t>S6</t>
        </is>
      </c>
      <c r="B7" s="2" t="inlineStr">
        <is>
          <t>RI Direcional</t>
        </is>
      </c>
      <c r="C7" s="2" t="inlineStr">
        <is>
          <t>Prévia operacional 3T26</t>
        </is>
      </c>
      <c r="D7" s="2" t="inlineStr">
        <is>
          <t>https://filemanager-cdn.mziq.com/published/ada9bc2c-f7d0-4359-9eaf-851b679ab788/ec557d57-e4bc-4648-bb3f-e272f7f0ba0a</t>
        </is>
      </c>
      <c r="E7" s="2" t="inlineStr">
        <is>
          <t>pp.1–4</t>
        </is>
      </c>
      <c r="F7" s="2" t="inlineStr">
        <is>
          <t>22/10/2026</t>
        </is>
      </c>
      <c r="G7" s="2" t="inlineStr">
        <is>
          <t>Prévia não auditada, pós-data.</t>
        </is>
      </c>
    </row>
    <row r="8">
      <c r="A8" s="2" t="inlineStr">
        <is>
          <t>S7</t>
        </is>
      </c>
      <c r="B8" s="2" t="inlineStr">
        <is>
          <t>RI Direcional</t>
        </is>
      </c>
      <c r="C8" s="2" t="inlineStr">
        <is>
          <t>Anúncio de início da 16ª emissão de debêntures</t>
        </is>
      </c>
      <c r="D8" s="2" t="inlineStr">
        <is>
          <t>https://filemanager-cdn.mziq.com/published/ada9bc2c-f7d0-4359-9eaf-851b679ab788/2d709687-6743-41d0-a74a-cc287ddf5167</t>
        </is>
      </c>
      <c r="E8" s="2" t="inlineStr">
        <is>
          <t>pp.1–5</t>
        </is>
      </c>
      <c r="F8" s="2" t="inlineStr">
        <is>
          <t>22/10/2026</t>
        </is>
      </c>
      <c r="G8" s="2" t="inlineStr">
        <is>
          <t>Emissão quirografária de R$150 milhões, 25/09/2026.</t>
        </is>
      </c>
    </row>
    <row r="9">
      <c r="A9" s="2" t="inlineStr">
        <is>
          <t>S8</t>
        </is>
      </c>
      <c r="B9" s="2" t="inlineStr">
        <is>
          <t>RI Direcional</t>
        </is>
      </c>
      <c r="C9" s="2" t="inlineStr">
        <is>
          <t>Anúncio de encerramento da 16ª emissão de debêntures</t>
        </is>
      </c>
      <c r="D9" s="2" t="inlineStr">
        <is>
          <t>https://filemanager-cdn.mziq.com/published/ada9bc2c-f7d0-4359-9eaf-851b679ab788/c36f23cd-1a25-423a-806b-31f67912116f</t>
        </is>
      </c>
      <c r="E9" s="2" t="inlineStr">
        <is>
          <t>pp.1–5</t>
        </is>
      </c>
      <c r="F9" s="2" t="inlineStr">
        <is>
          <t>22/10/2026</t>
        </is>
      </c>
      <c r="G9" s="2" t="inlineStr">
        <is>
          <t>Oferta encerrada em 05/10/2026.</t>
        </is>
      </c>
    </row>
    <row r="10">
      <c r="A10" s="2" t="inlineStr">
        <is>
          <t>S9</t>
        </is>
      </c>
      <c r="B10" s="2" t="inlineStr">
        <is>
          <t>RI Direcional</t>
        </is>
      </c>
      <c r="C10" s="2" t="inlineStr">
        <is>
          <t>Comunicado sobre participação acionária de 16/10/2026</t>
        </is>
      </c>
      <c r="D10" s="2" t="inlineStr">
        <is>
          <t>https://filemanager-cdn.mziq.com/published/ada9bc2c-f7d0-4359-9eaf-851b679ab788/15fa5da0-e732-4b16-b364-0f264c093d07</t>
        </is>
      </c>
      <c r="E10" s="2" t="inlineStr">
        <is>
          <t>p.1</t>
        </is>
      </c>
      <c r="F10" s="2" t="inlineStr">
        <is>
          <t>22/10/2026</t>
        </is>
      </c>
      <c r="G10" s="2" t="inlineStr">
        <is>
          <t>Participação de 4,7805%; sem intenção declarada de mudar controle.</t>
        </is>
      </c>
    </row>
  </sheetData>
  <autoFilter ref="A1:G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4" customWidth="1" min="2" max="2"/>
  </cols>
  <sheetData>
    <row r="1" ht="34" customHeight="1">
      <c r="A1" s="1" t="inlineStr">
        <is>
          <t>Tema</t>
        </is>
      </c>
      <c r="B1" s="1" t="inlineStr">
        <is>
          <t>Nota</t>
        </is>
      </c>
    </row>
    <row r="2">
      <c r="A2" s="2" t="inlineStr">
        <is>
          <t>Materialidade</t>
        </is>
      </c>
      <c r="B2" s="2" t="inlineStr">
        <is>
          <t>Percentuais e valores são julgamento didático independente, não a materialidade do auditor PwC.</t>
        </is>
      </c>
    </row>
    <row r="3">
      <c r="A3" s="2" t="inlineStr">
        <is>
          <t>Base sintética</t>
        </is>
      </c>
      <c r="B3" s="2" t="inlineStr">
        <is>
          <t>500.000 linhas com identificadores únicos; saldo total fecha com Nota 5. A classificação corrente/não corrente também fecha por desenho com R$813.565 mil/R$4.864.673 mil.</t>
        </is>
      </c>
    </row>
    <row r="4">
      <c r="A4" s="2" t="inlineStr">
        <is>
          <t>Exceções</t>
        </is>
      </c>
      <c r="B4" s="2" t="inlineStr">
        <is>
          <t>Erros deliberadamente implantados para testar controles e análises. O registro de injeção fica em data/injection_register.json.</t>
        </is>
      </c>
    </row>
    <row r="5">
      <c r="A5" s="2" t="inlineStr">
        <is>
          <t>Procedimentos</t>
        </is>
      </c>
      <c r="B5" s="2" t="inlineStr">
        <is>
          <t>Procedimentos reais de confirmação, inspeção física, entrevista, reperformance interna e acesso a sistema não foram realizados. Estão classificados como planejados por falta de acesso.</t>
        </is>
      </c>
    </row>
    <row r="6">
      <c r="A6" s="2" t="inlineStr">
        <is>
          <t>Documentos 2026</t>
        </is>
      </c>
      <c r="B6" s="2" t="inlineStr">
        <is>
          <t>ITR 2T26 e prévia 3T26 são informação posterior; a prévia é expressamente não auditada. Usados apenas para avaliação de eventos subsequentes e continuidade, não para reabrir valores de 2025 sem prova de condição existente na data-base.</t>
        </is>
      </c>
    </row>
    <row r="7">
      <c r="A7" s="2" t="inlineStr">
        <is>
          <t>Inconsistência de datas</t>
        </is>
      </c>
      <c r="B7" s="2" t="inlineStr">
        <is>
          <t>Relatório PwC impresso p.117 traz 09/03/2026; Nota 1 p.41 informa aprovação em 10/03/2026. Ponto documental a esclarecer, não conclusão de irregularidade.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2026-10-23T20:51:11Z</dcterms:created>
  <dcterms:modified xmlns:dcterms="http://purl.org/dc/terms/" xmlns:xsi="http://www.w3.org/2001/XMLSchema-instance" xsi:type="dcterms:W3CDTF">2026-10-23T20:51:11Z</dcterms:modified>
</cp:coreProperties>
</file>